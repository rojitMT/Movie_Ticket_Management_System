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2CB68CC-8BA2-4225-ACC3-2574FA4C0EA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Cases'!$A$4:$I$29</definedName>
    <definedName name="_xlnm.Print_Area" localSheetId="0">'Test Cases'!$A$1:$I$29</definedName>
    <definedName name="_xlnm.Print_Titles" localSheetId="0">'Test Cases'!$4:$4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D8" i="2"/>
  <c r="C8" i="2"/>
  <c r="B8" i="2"/>
  <c r="D7" i="2"/>
  <c r="C7" i="2"/>
  <c r="B7" i="2"/>
  <c r="D6" i="2"/>
  <c r="C6" i="2"/>
  <c r="B6" i="2"/>
  <c r="D5" i="2"/>
  <c r="D9" i="2" s="1"/>
  <c r="C5" i="2"/>
  <c r="C9" i="2" s="1"/>
  <c r="B11" i="2" s="1"/>
  <c r="B5" i="2"/>
</calcChain>
</file>

<file path=xl/sharedStrings.xml><?xml version="1.0" encoding="utf-8"?>
<sst xmlns="http://schemas.openxmlformats.org/spreadsheetml/2006/main" count="269" uniqueCount="186">
  <si>
    <t>Movie Ticket Management System — Test Cases</t>
  </si>
  <si>
    <t>Agile Software Project Management Simulation — Full Test Case List</t>
  </si>
  <si>
    <t>Test ID</t>
  </si>
  <si>
    <t>Test Type</t>
  </si>
  <si>
    <t>Feature</t>
  </si>
  <si>
    <t>Objective</t>
  </si>
  <si>
    <t>Input</t>
  </si>
  <si>
    <t>Expected Output</t>
  </si>
  <si>
    <t>Actual Output</t>
  </si>
  <si>
    <t>Status</t>
  </si>
  <si>
    <t>Tested By</t>
  </si>
  <si>
    <t>TC-001</t>
  </si>
  <si>
    <t>Unit</t>
  </si>
  <si>
    <t>Registration</t>
  </si>
  <si>
    <t>Validate a new customer can register with valid details</t>
  </si>
  <si>
    <t>Valid name, email, phone, password</t>
  </si>
  <si>
    <t>Account created; success message; redirected to login</t>
  </si>
  <si>
    <t>Account created successfully; confirmation message shown</t>
  </si>
  <si>
    <t>Pass</t>
  </si>
  <si>
    <t>Dikpal Pandey</t>
  </si>
  <si>
    <t>TC-002</t>
  </si>
  <si>
    <t>Validate duplicate email is rejected</t>
  </si>
  <si>
    <t>Email: aarav@test.com (existing)</t>
  </si>
  <si>
    <t>'Email already registered' error shown</t>
  </si>
  <si>
    <t>Error message displayed as expected</t>
  </si>
  <si>
    <t>TC-003</t>
  </si>
  <si>
    <t>Login</t>
  </si>
  <si>
    <t>Validate login succeeds with correct credentials</t>
  </si>
  <si>
    <t>Email: aarav@test.com; Password: Pass@123</t>
  </si>
  <si>
    <t>User authenticated; redirected to movie listing</t>
  </si>
  <si>
    <t>Login successful; movie list displayed</t>
  </si>
  <si>
    <t>TC-004</t>
  </si>
  <si>
    <t>Validate login fails with incorrect password</t>
  </si>
  <si>
    <t>Email: aarav@test.com; Password: wrongpass</t>
  </si>
  <si>
    <t>'Invalid credentials' error shown</t>
  </si>
  <si>
    <t>TC-005</t>
  </si>
  <si>
    <t>Browse Movies</t>
  </si>
  <si>
    <t>Validate movies can be filtered by genre</t>
  </si>
  <si>
    <t>Filter: Genre = Action</t>
  </si>
  <si>
    <t>Only 'Action' movies displayed</t>
  </si>
  <si>
    <t>Filtered list showed only Action titles</t>
  </si>
  <si>
    <t>TC-006</t>
  </si>
  <si>
    <t>Showtimes</t>
  </si>
  <si>
    <t>Validate available showtimes are listed for a movie</t>
  </si>
  <si>
    <t>Movie: 'Interstellar Voyage'</t>
  </si>
  <si>
    <t>All active showtimes listed with date/time</t>
  </si>
  <si>
    <t>Showtimes list displayed correctly</t>
  </si>
  <si>
    <t>Rojit Malla</t>
  </si>
  <si>
    <t>TC-007</t>
  </si>
  <si>
    <t>Seat Selection</t>
  </si>
  <si>
    <t>Validate an already-booked seat cannot be reselected</t>
  </si>
  <si>
    <t>Seat C5 (status = booked)</t>
  </si>
  <si>
    <t>Seat C5 disabled/unselectable; selection blocked</t>
  </si>
  <si>
    <t>Seat C5 still selectable and allowed into cart (validation gap)</t>
  </si>
  <si>
    <t>Fail</t>
  </si>
  <si>
    <t>TC-008</t>
  </si>
  <si>
    <t>Pricing</t>
  </si>
  <si>
    <t>Validate total price is calculated for multiple seats</t>
  </si>
  <si>
    <t>Seats: A1, A2, A3 @ $10.00 each</t>
  </si>
  <si>
    <t>Total displayed = $30.00</t>
  </si>
  <si>
    <t>Total displayed correctly as $30.00</t>
  </si>
  <si>
    <t>TC-009</t>
  </si>
  <si>
    <t>Integration</t>
  </si>
  <si>
    <t>Registration + Database</t>
  </si>
  <si>
    <t>Verify new user record is persisted correctly</t>
  </si>
  <si>
    <t>Email: priya@test.com</t>
  </si>
  <si>
    <t>New row exists in Users table with matching details</t>
  </si>
  <si>
    <t>User row created and matched submitted data</t>
  </si>
  <si>
    <t>TC-010</t>
  </si>
  <si>
    <t>Login + Session</t>
  </si>
  <si>
    <t>Verify session token persists across pages</t>
  </si>
  <si>
    <t>Session remains active across navigation</t>
  </si>
  <si>
    <t>Session persisted correctly across navigation</t>
  </si>
  <si>
    <t>TC-011</t>
  </si>
  <si>
    <t>Seat Selection + Booking</t>
  </si>
  <si>
    <t>Verify selected seats are locked during checkout</t>
  </si>
  <si>
    <t>Seat B4; two customers, 5-min lock window</t>
  </si>
  <si>
    <t>Seat B4 locked for second customer during checkout</t>
  </si>
  <si>
    <t>Seat lock enforced as expected</t>
  </si>
  <si>
    <t>TC-012</t>
  </si>
  <si>
    <t>Booking + Payment Gateway</t>
  </si>
  <si>
    <t>Verify booking invokes payment gateway with correct amount</t>
  </si>
  <si>
    <t>Order amount: $30.00; Method: Credit Card</t>
  </si>
  <si>
    <t>Gateway receives correct amount and booking reference</t>
  </si>
  <si>
    <t>Payment gateway received correct amount and reference ID</t>
  </si>
  <si>
    <t>TC-013</t>
  </si>
  <si>
    <t>Payment + Booking Status</t>
  </si>
  <si>
    <t>Verify booking rolls back when payment fails</t>
  </si>
  <si>
    <t>Card: declined test card</t>
  </si>
  <si>
    <t>Payment fails; booking cancelled; seat returns to available</t>
  </si>
  <si>
    <t>Payment failed, but seat remained 'pending' and was not released</t>
  </si>
  <si>
    <t>TC-014</t>
  </si>
  <si>
    <t>Booking + Notification</t>
  </si>
  <si>
    <t>Verify confirmation is triggered after payment</t>
  </si>
  <si>
    <t>Booking ID: BKG-1042</t>
  </si>
  <si>
    <t>Confirmation queued/sent with booking details and e-ticket</t>
  </si>
  <si>
    <t>Confirmation sent with correct booking details</t>
  </si>
  <si>
    <t>TC-015</t>
  </si>
  <si>
    <t>System</t>
  </si>
  <si>
    <t>End-to-End Booking</t>
  </si>
  <si>
    <t>Verify a customer can complete a full booking</t>
  </si>
  <si>
    <t>Movie: 'Interstellar Voyage'; Seats: D1, D2</t>
  </si>
  <si>
    <t>Booking confirmed; e-ticket generated and shown</t>
  </si>
  <si>
    <t>Full booking flow completed; e-ticket generated successfully</t>
  </si>
  <si>
    <t>TC-016</t>
  </si>
  <si>
    <t>Cancel Booking</t>
  </si>
  <si>
    <t>Verify cancelling releases the seat back to inventory</t>
  </si>
  <si>
    <t>Booking ID: BKG-1050; Seat: E6</t>
  </si>
  <si>
    <t>Seat E6 becomes available immediately</t>
  </si>
  <si>
    <t>Booking cancelled, but seat E6 still showed 'booked' for several minutes</t>
  </si>
  <si>
    <t>TC-017</t>
  </si>
  <si>
    <t>Admin – Add Movie &amp; Showtime</t>
  </si>
  <si>
    <t>Verify admin can add a movie and schedule a showtime</t>
  </si>
  <si>
    <t>Movie: 'The Last Reel'; Theater: Hall 3; Time: 7:00 PM</t>
  </si>
  <si>
    <t>New movie and showtime appear in customer catalog</t>
  </si>
  <si>
    <t>New movie and showtime appeared correctly for customers</t>
  </si>
  <si>
    <t>TC-018</t>
  </si>
  <si>
    <t>Concurrent Booking Prevention</t>
  </si>
  <si>
    <t>Verify two customers cannot book the same seat</t>
  </si>
  <si>
    <t>Seat: F2; Showtime: 8:30 PM</t>
  </si>
  <si>
    <t>Only one booking succeeds; second gets 'seat unavailable'</t>
  </si>
  <si>
    <t>Only one booking succeeded; second attempt blocked as expected</t>
  </si>
  <si>
    <t>TC-019</t>
  </si>
  <si>
    <t>Booking History</t>
  </si>
  <si>
    <t>Verify a customer can view past and upcoming bookings</t>
  </si>
  <si>
    <t>Customer: priya@test.com</t>
  </si>
  <si>
    <t>All bookings listed with correct status and details</t>
  </si>
  <si>
    <t>Booking history displayed accurately</t>
  </si>
  <si>
    <t>TC-020</t>
  </si>
  <si>
    <t>Payment Failure Handling</t>
  </si>
  <si>
    <t>Verify system handles a declined payment gracefully</t>
  </si>
  <si>
    <t>Clear error shown; customer returned to payment step</t>
  </si>
  <si>
    <t>Error message shown; customer returned to payment step</t>
  </si>
  <si>
    <t>TC-021</t>
  </si>
  <si>
    <t>UAT</t>
  </si>
  <si>
    <t>Registration &amp; Login</t>
  </si>
  <si>
    <t>Confirm a first-time customer can register and log in</t>
  </si>
  <si>
    <t>New user: 'Test User'</t>
  </si>
  <si>
    <t>Registration and login completed within a few steps</t>
  </si>
  <si>
    <t>User completed the flow smoothly and understood each step</t>
  </si>
  <si>
    <t>TC-022</t>
  </si>
  <si>
    <t>Browse &amp; Showtimes</t>
  </si>
  <si>
    <t>Confirm a customer can find a movie and its showtimes</t>
  </si>
  <si>
    <t>Search term: 'Interstellar'</t>
  </si>
  <si>
    <t>Movie and showtimes located quickly using visible navigation</t>
  </si>
  <si>
    <t>Customer found the movie and showtimes without guidance</t>
  </si>
  <si>
    <t>TC-023</t>
  </si>
  <si>
    <t>Seat Selection &amp; Booking</t>
  </si>
  <si>
    <t>Confirm a customer can select seats and book without confusion</t>
  </si>
  <si>
    <t>Seats: G1, G2</t>
  </si>
  <si>
    <t>Seat selection and payment completed confidently</t>
  </si>
  <si>
    <t>Booking completed with minor hesitation over price breakdown</t>
  </si>
  <si>
    <t>TC-024</t>
  </si>
  <si>
    <t>Booking Confirmation Clarity</t>
  </si>
  <si>
    <t>Confirm the confirmation clearly shows seat numbers</t>
  </si>
  <si>
    <t>Booking ID: BKG-1061; Seats: G1, G2</t>
  </si>
  <si>
    <t>Confirmation clearly lists movie, showtime, theater, and seat numbers</t>
  </si>
  <si>
    <t>Confirmation showed booking ID and time, but seat numbers were not clearly visible</t>
  </si>
  <si>
    <t>TC-025</t>
  </si>
  <si>
    <t>Admin Usability</t>
  </si>
  <si>
    <t>Confirm an administrator can manage movies and showtimes easily</t>
  </si>
  <si>
    <t>Movie: 'The Last Reel'</t>
  </si>
  <si>
    <t>Management tasks completed using clearly labeled controls</t>
  </si>
  <si>
    <t>Administrator completed tasks efficiently with no issues</t>
  </si>
  <si>
    <t>Movie Ticket Management System — Testing Summary</t>
  </si>
  <si>
    <t>Agile Software Project Management Simulation</t>
  </si>
  <si>
    <t>Total Cases</t>
  </si>
  <si>
    <t>Passed</t>
  </si>
  <si>
    <t>Failed</t>
  </si>
  <si>
    <t>Total</t>
  </si>
  <si>
    <t>Pass Rate:</t>
  </si>
  <si>
    <t>Linked Defect Log</t>
  </si>
  <si>
    <t>Defect ID</t>
  </si>
  <si>
    <t>Severity</t>
  </si>
  <si>
    <t>Issue</t>
  </si>
  <si>
    <t>Found In</t>
  </si>
  <si>
    <t>DEF-01</t>
  </si>
  <si>
    <t>High</t>
  </si>
  <si>
    <t>Duplicate seat validation allowed booking of an already-reserved seat.</t>
  </si>
  <si>
    <t>DEF-02</t>
  </si>
  <si>
    <t>Medium</t>
  </si>
  <si>
    <t>Cancelled booking did not immediately release the seat back to inventory.</t>
  </si>
  <si>
    <t>DEF-03</t>
  </si>
  <si>
    <t>Payment failure did not roll back the pending seat reservation.</t>
  </si>
  <si>
    <t>DEF-04</t>
  </si>
  <si>
    <t>Booking confirmation did not clearly display the selected seat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</si>
</sst>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6"/>
      <color rgb="FF1A1A2E"/>
      <name val="Calibri"/>
      <charset val="1"/>
    </font>
    <font>
      <i/>
      <sz val="10"/>
      <color rgb="FF4A4A4A"/>
      <name val="Calibri"/>
      <charset val="1"/>
    </font>
    <font>
      <b/>
      <sz val="11"/>
      <color rgb="FFFFFFFF"/>
      <name val="Calibri"/>
      <charset val="1"/>
    </font>
    <font>
      <sz val="10.5"/>
      <color rgb="FF2B2B2B"/>
      <name val="Calibri"/>
      <charset val="1"/>
    </font>
    <font>
      <b/>
      <sz val="10.5"/>
      <color rgb="FF1E7A4C"/>
      <name val="Calibri"/>
      <charset val="1"/>
    </font>
    <font>
      <b/>
      <sz val="10.5"/>
      <color rgb="FFC0143C"/>
      <name val="Calibri"/>
      <charset val="1"/>
    </font>
    <font>
      <b/>
      <sz val="11"/>
      <color rgb="FF2B2B2B"/>
      <name val="Calibri"/>
      <charset val="1"/>
    </font>
    <font>
      <sz val="11"/>
      <color rgb="FF2B2B2B"/>
      <name val="Calibri"/>
      <charset val="1"/>
    </font>
    <font>
      <b/>
      <sz val="11"/>
      <color rgb="FF1A1A2E"/>
      <name val="Calibri"/>
      <charset val="1"/>
    </font>
    <font>
      <b/>
      <sz val="14"/>
      <color rgb="FF1E7A4C"/>
      <name val="Calibri"/>
      <charset val="1"/>
    </font>
    <font>
      <b/>
      <sz val="13"/>
      <color rgb="FF1A1A2E"/>
      <name val="Calibri"/>
      <charset val="1"/>
    </font>
    <font>
      <b/>
      <sz val="11"/>
      <color rgb="FFC0143C"/>
      <name val="Calibri"/>
      <charset val="1"/>
    </font>
    <font>
      <b/>
      <sz val="11"/>
      <color rgb="FFB8860B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2B2B2B"/>
      </patternFill>
    </fill>
    <fill>
      <patternFill patternType="solid">
        <fgColor rgb="FFD9E2F3"/>
        <bgColor rgb="FFD9D9DE"/>
      </patternFill>
    </fill>
    <fill>
      <patternFill patternType="solid">
        <fgColor rgb="FFDFF3E2"/>
        <bgColor rgb="FFEDEDF2"/>
      </patternFill>
    </fill>
    <fill>
      <patternFill patternType="solid">
        <fgColor rgb="FFFBE1E6"/>
        <bgColor rgb="FFFBE5D6"/>
      </patternFill>
    </fill>
    <fill>
      <patternFill patternType="solid">
        <fgColor rgb="FFFBE5D6"/>
        <bgColor rgb="FFFBE1E6"/>
      </patternFill>
    </fill>
    <fill>
      <patternFill patternType="solid">
        <fgColor rgb="FFFFF2CC"/>
        <bgColor rgb="FFFBE5D6"/>
      </patternFill>
    </fill>
    <fill>
      <patternFill patternType="solid">
        <fgColor rgb="FFE8D9F0"/>
        <bgColor rgb="FFD9D9DE"/>
      </patternFill>
    </fill>
    <fill>
      <patternFill patternType="solid">
        <fgColor rgb="FFEDEDF2"/>
        <bgColor rgb="FFDFF3E2"/>
      </patternFill>
    </fill>
  </fills>
  <borders count="2">
    <border>
      <left/>
      <right/>
      <top/>
      <bottom/>
      <diagonal/>
    </border>
    <border>
      <left style="thin">
        <color rgb="FFD9D9DE"/>
      </left>
      <right style="thin">
        <color rgb="FFD9D9DE"/>
      </right>
      <top style="thin">
        <color rgb="FFD9D9DE"/>
      </top>
      <bottom style="thin">
        <color rgb="FFD9D9D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9" fillId="9" borderId="1" xfId="0" applyFont="1" applyFill="1" applyBorder="1" applyAlignment="1">
      <alignment horizontal="center" vertical="center"/>
    </xf>
    <xf numFmtId="0" fontId="9" fillId="0" borderId="0" xfId="0" applyFont="1"/>
    <xf numFmtId="164" fontId="10" fillId="0" borderId="0" xfId="0" applyNumberFormat="1" applyFont="1"/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E7A4C"/>
      <rgbColor rgb="FFE8D9F0"/>
      <rgbColor rgb="FF808080"/>
      <rgbColor rgb="FF9999FF"/>
      <rgbColor rgb="FFC0143C"/>
      <rgbColor rgb="FFFFF2CC"/>
      <rgbColor rgb="FFEDEDF2"/>
      <rgbColor rgb="FF660066"/>
      <rgbColor rgb="FFFF8080"/>
      <rgbColor rgb="FF0066CC"/>
      <rgbColor rgb="FFD9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FF3E2"/>
      <rgbColor rgb="FFFBE1E6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4A4A4A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65852</xdr:colOff>
      <xdr:row>1</xdr:row>
      <xdr:rowOff>178739</xdr:rowOff>
    </xdr:from>
    <xdr:to>
      <xdr:col>15</xdr:col>
      <xdr:colOff>413771</xdr:colOff>
      <xdr:row>17</xdr:row>
      <xdr:rowOff>523431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EF7C2-045B-D934-C8E8-33B92FA4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2445" y="479776"/>
          <a:ext cx="5681919" cy="484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"/>
  <sheetViews>
    <sheetView showGridLines="0" tabSelected="1" zoomScaleNormal="100" workbookViewId="0">
      <pane ySplit="4" topLeftCell="A25" activePane="bottomLeft" state="frozen"/>
      <selection pane="bottomLeft" sqref="A1:I1"/>
    </sheetView>
  </sheetViews>
  <sheetFormatPr defaultColWidth="8.6640625" defaultRowHeight="14.4" x14ac:dyDescent="0.3"/>
  <cols>
    <col min="1" max="1" width="17.44140625" customWidth="1"/>
    <col min="2" max="2" width="15.6640625" customWidth="1"/>
    <col min="3" max="3" width="25.44140625" customWidth="1"/>
    <col min="4" max="4" width="30" customWidth="1"/>
    <col min="5" max="5" width="26" customWidth="1"/>
    <col min="6" max="6" width="28" customWidth="1"/>
    <col min="7" max="7" width="30" customWidth="1"/>
    <col min="8" max="8" width="10.6640625" bestFit="1" customWidth="1"/>
    <col min="9" max="9" width="14" customWidth="1"/>
  </cols>
  <sheetData>
    <row r="1" spans="1:9" ht="24" customHeight="1" x14ac:dyDescent="0.4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6" customHeight="1" x14ac:dyDescent="0.3"/>
    <row r="4" spans="1:9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39.75" customHeight="1" x14ac:dyDescent="0.3">
      <c r="A5" s="4" t="s">
        <v>11</v>
      </c>
      <c r="B5" s="5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7" t="s">
        <v>18</v>
      </c>
      <c r="I5" s="8" t="s">
        <v>19</v>
      </c>
    </row>
    <row r="6" spans="1:9" ht="39.75" customHeight="1" x14ac:dyDescent="0.3">
      <c r="A6" s="4" t="s">
        <v>20</v>
      </c>
      <c r="B6" s="5" t="s">
        <v>12</v>
      </c>
      <c r="C6" s="6" t="s">
        <v>13</v>
      </c>
      <c r="D6" s="6" t="s">
        <v>21</v>
      </c>
      <c r="E6" s="6" t="s">
        <v>22</v>
      </c>
      <c r="F6" s="6" t="s">
        <v>23</v>
      </c>
      <c r="G6" s="6" t="s">
        <v>24</v>
      </c>
      <c r="H6" s="7" t="s">
        <v>18</v>
      </c>
      <c r="I6" s="8" t="s">
        <v>19</v>
      </c>
    </row>
    <row r="7" spans="1:9" ht="39.75" customHeight="1" x14ac:dyDescent="0.3">
      <c r="A7" s="4" t="s">
        <v>25</v>
      </c>
      <c r="B7" s="5" t="s">
        <v>12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7" t="s">
        <v>18</v>
      </c>
      <c r="I7" s="8" t="s">
        <v>19</v>
      </c>
    </row>
    <row r="8" spans="1:9" ht="39.75" customHeight="1" x14ac:dyDescent="0.3">
      <c r="A8" s="4" t="s">
        <v>31</v>
      </c>
      <c r="B8" s="5" t="s">
        <v>12</v>
      </c>
      <c r="C8" s="6" t="s">
        <v>26</v>
      </c>
      <c r="D8" s="6" t="s">
        <v>32</v>
      </c>
      <c r="E8" s="6" t="s">
        <v>33</v>
      </c>
      <c r="F8" s="6" t="s">
        <v>34</v>
      </c>
      <c r="G8" s="6" t="s">
        <v>24</v>
      </c>
      <c r="H8" s="7" t="s">
        <v>18</v>
      </c>
      <c r="I8" s="8" t="s">
        <v>19</v>
      </c>
    </row>
    <row r="9" spans="1:9" ht="39.75" customHeight="1" x14ac:dyDescent="0.3">
      <c r="A9" s="4" t="s">
        <v>35</v>
      </c>
      <c r="B9" s="5" t="s">
        <v>12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40</v>
      </c>
      <c r="H9" s="7" t="s">
        <v>18</v>
      </c>
      <c r="I9" s="8" t="s">
        <v>19</v>
      </c>
    </row>
    <row r="10" spans="1:9" ht="39.75" customHeight="1" x14ac:dyDescent="0.3">
      <c r="A10" s="4" t="s">
        <v>41</v>
      </c>
      <c r="B10" s="5" t="s">
        <v>12</v>
      </c>
      <c r="C10" s="6" t="s">
        <v>42</v>
      </c>
      <c r="D10" s="6" t="s">
        <v>43</v>
      </c>
      <c r="E10" s="6" t="s">
        <v>44</v>
      </c>
      <c r="F10" s="6" t="s">
        <v>45</v>
      </c>
      <c r="G10" s="6" t="s">
        <v>46</v>
      </c>
      <c r="H10" s="7" t="s">
        <v>18</v>
      </c>
      <c r="I10" s="8" t="s">
        <v>47</v>
      </c>
    </row>
    <row r="11" spans="1:9" ht="39.75" customHeight="1" x14ac:dyDescent="0.3">
      <c r="A11" s="4" t="s">
        <v>48</v>
      </c>
      <c r="B11" s="5" t="s">
        <v>12</v>
      </c>
      <c r="C11" s="6" t="s">
        <v>49</v>
      </c>
      <c r="D11" s="6" t="s">
        <v>50</v>
      </c>
      <c r="E11" s="6" t="s">
        <v>51</v>
      </c>
      <c r="F11" s="6" t="s">
        <v>52</v>
      </c>
      <c r="G11" s="6" t="s">
        <v>53</v>
      </c>
      <c r="H11" s="9" t="s">
        <v>54</v>
      </c>
      <c r="I11" s="8" t="s">
        <v>47</v>
      </c>
    </row>
    <row r="12" spans="1:9" ht="39.75" customHeight="1" x14ac:dyDescent="0.3">
      <c r="A12" s="4" t="s">
        <v>55</v>
      </c>
      <c r="B12" s="5" t="s">
        <v>12</v>
      </c>
      <c r="C12" s="6" t="s">
        <v>56</v>
      </c>
      <c r="D12" s="6" t="s">
        <v>57</v>
      </c>
      <c r="E12" s="6" t="s">
        <v>58</v>
      </c>
      <c r="F12" s="6" t="s">
        <v>59</v>
      </c>
      <c r="G12" s="6" t="s">
        <v>60</v>
      </c>
      <c r="H12" s="7" t="s">
        <v>18</v>
      </c>
      <c r="I12" s="8" t="s">
        <v>47</v>
      </c>
    </row>
    <row r="13" spans="1:9" ht="39.75" customHeight="1" x14ac:dyDescent="0.3">
      <c r="A13" s="10" t="s">
        <v>61</v>
      </c>
      <c r="B13" s="11" t="s">
        <v>62</v>
      </c>
      <c r="C13" s="6" t="s">
        <v>63</v>
      </c>
      <c r="D13" s="6" t="s">
        <v>64</v>
      </c>
      <c r="E13" s="6" t="s">
        <v>65</v>
      </c>
      <c r="F13" s="6" t="s">
        <v>66</v>
      </c>
      <c r="G13" s="6" t="s">
        <v>67</v>
      </c>
      <c r="H13" s="7" t="s">
        <v>18</v>
      </c>
      <c r="I13" s="8" t="s">
        <v>19</v>
      </c>
    </row>
    <row r="14" spans="1:9" ht="39.75" customHeight="1" x14ac:dyDescent="0.3">
      <c r="A14" s="10" t="s">
        <v>68</v>
      </c>
      <c r="B14" s="11" t="s">
        <v>62</v>
      </c>
      <c r="C14" s="6" t="s">
        <v>69</v>
      </c>
      <c r="D14" s="6" t="s">
        <v>70</v>
      </c>
      <c r="E14" s="6" t="s">
        <v>65</v>
      </c>
      <c r="F14" s="6" t="s">
        <v>71</v>
      </c>
      <c r="G14" s="6" t="s">
        <v>72</v>
      </c>
      <c r="H14" s="7" t="s">
        <v>18</v>
      </c>
      <c r="I14" s="8" t="s">
        <v>19</v>
      </c>
    </row>
    <row r="15" spans="1:9" ht="39.75" customHeight="1" x14ac:dyDescent="0.3">
      <c r="A15" s="10" t="s">
        <v>73</v>
      </c>
      <c r="B15" s="11" t="s">
        <v>62</v>
      </c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7" t="s">
        <v>18</v>
      </c>
      <c r="I15" s="8" t="s">
        <v>47</v>
      </c>
    </row>
    <row r="16" spans="1:9" ht="39.75" customHeight="1" x14ac:dyDescent="0.3">
      <c r="A16" s="10" t="s">
        <v>79</v>
      </c>
      <c r="B16" s="11" t="s">
        <v>62</v>
      </c>
      <c r="C16" s="6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7" t="s">
        <v>18</v>
      </c>
      <c r="I16" s="8" t="s">
        <v>47</v>
      </c>
    </row>
    <row r="17" spans="1:9" ht="39.75" customHeight="1" x14ac:dyDescent="0.3">
      <c r="A17" s="10" t="s">
        <v>85</v>
      </c>
      <c r="B17" s="11" t="s">
        <v>62</v>
      </c>
      <c r="C17" s="6" t="s">
        <v>86</v>
      </c>
      <c r="D17" s="6" t="s">
        <v>87</v>
      </c>
      <c r="E17" s="6" t="s">
        <v>88</v>
      </c>
      <c r="F17" s="6" t="s">
        <v>89</v>
      </c>
      <c r="G17" s="6" t="s">
        <v>90</v>
      </c>
      <c r="H17" s="9" t="s">
        <v>54</v>
      </c>
      <c r="I17" s="8" t="s">
        <v>47</v>
      </c>
    </row>
    <row r="18" spans="1:9" ht="39.75" customHeight="1" x14ac:dyDescent="0.3">
      <c r="A18" s="10" t="s">
        <v>91</v>
      </c>
      <c r="B18" s="11" t="s">
        <v>62</v>
      </c>
      <c r="C18" s="6" t="s">
        <v>92</v>
      </c>
      <c r="D18" s="6" t="s">
        <v>93</v>
      </c>
      <c r="E18" s="6" t="s">
        <v>94</v>
      </c>
      <c r="F18" s="6" t="s">
        <v>95</v>
      </c>
      <c r="G18" s="6" t="s">
        <v>96</v>
      </c>
      <c r="H18" s="7" t="s">
        <v>18</v>
      </c>
      <c r="I18" s="8" t="s">
        <v>47</v>
      </c>
    </row>
    <row r="19" spans="1:9" ht="39.75" customHeight="1" x14ac:dyDescent="0.3">
      <c r="A19" s="12" t="s">
        <v>97</v>
      </c>
      <c r="B19" s="13" t="s">
        <v>98</v>
      </c>
      <c r="C19" s="6" t="s">
        <v>99</v>
      </c>
      <c r="D19" s="6" t="s">
        <v>100</v>
      </c>
      <c r="E19" s="6" t="s">
        <v>101</v>
      </c>
      <c r="F19" s="6" t="s">
        <v>102</v>
      </c>
      <c r="G19" s="6" t="s">
        <v>103</v>
      </c>
      <c r="H19" s="7" t="s">
        <v>18</v>
      </c>
      <c r="I19" s="8" t="s">
        <v>47</v>
      </c>
    </row>
    <row r="20" spans="1:9" ht="39.75" customHeight="1" x14ac:dyDescent="0.3">
      <c r="A20" s="12" t="s">
        <v>104</v>
      </c>
      <c r="B20" s="13" t="s">
        <v>98</v>
      </c>
      <c r="C20" s="6" t="s">
        <v>105</v>
      </c>
      <c r="D20" s="6" t="s">
        <v>106</v>
      </c>
      <c r="E20" s="6" t="s">
        <v>107</v>
      </c>
      <c r="F20" s="6" t="s">
        <v>108</v>
      </c>
      <c r="G20" s="6" t="s">
        <v>109</v>
      </c>
      <c r="H20" s="9" t="s">
        <v>54</v>
      </c>
      <c r="I20" s="8" t="s">
        <v>47</v>
      </c>
    </row>
    <row r="21" spans="1:9" ht="39.75" customHeight="1" x14ac:dyDescent="0.3">
      <c r="A21" s="12" t="s">
        <v>110</v>
      </c>
      <c r="B21" s="13" t="s">
        <v>98</v>
      </c>
      <c r="C21" s="6" t="s">
        <v>111</v>
      </c>
      <c r="D21" s="6" t="s">
        <v>112</v>
      </c>
      <c r="E21" s="6" t="s">
        <v>113</v>
      </c>
      <c r="F21" s="6" t="s">
        <v>114</v>
      </c>
      <c r="G21" s="6" t="s">
        <v>115</v>
      </c>
      <c r="H21" s="7" t="s">
        <v>18</v>
      </c>
      <c r="I21" s="8" t="s">
        <v>19</v>
      </c>
    </row>
    <row r="22" spans="1:9" ht="39.75" customHeight="1" x14ac:dyDescent="0.3">
      <c r="A22" s="12" t="s">
        <v>116</v>
      </c>
      <c r="B22" s="13" t="s">
        <v>98</v>
      </c>
      <c r="C22" s="6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7" t="s">
        <v>18</v>
      </c>
      <c r="I22" s="8" t="s">
        <v>47</v>
      </c>
    </row>
    <row r="23" spans="1:9" ht="39.75" customHeight="1" x14ac:dyDescent="0.3">
      <c r="A23" s="12" t="s">
        <v>122</v>
      </c>
      <c r="B23" s="13" t="s">
        <v>98</v>
      </c>
      <c r="C23" s="6" t="s">
        <v>123</v>
      </c>
      <c r="D23" s="6" t="s">
        <v>124</v>
      </c>
      <c r="E23" s="6" t="s">
        <v>125</v>
      </c>
      <c r="F23" s="6" t="s">
        <v>126</v>
      </c>
      <c r="G23" s="6" t="s">
        <v>127</v>
      </c>
      <c r="H23" s="7" t="s">
        <v>18</v>
      </c>
      <c r="I23" s="8" t="s">
        <v>19</v>
      </c>
    </row>
    <row r="24" spans="1:9" ht="39.75" customHeight="1" x14ac:dyDescent="0.3">
      <c r="A24" s="12" t="s">
        <v>128</v>
      </c>
      <c r="B24" s="13" t="s">
        <v>98</v>
      </c>
      <c r="C24" s="6" t="s">
        <v>129</v>
      </c>
      <c r="D24" s="6" t="s">
        <v>130</v>
      </c>
      <c r="E24" s="6" t="s">
        <v>88</v>
      </c>
      <c r="F24" s="6" t="s">
        <v>131</v>
      </c>
      <c r="G24" s="6" t="s">
        <v>132</v>
      </c>
      <c r="H24" s="7" t="s">
        <v>18</v>
      </c>
      <c r="I24" s="8" t="s">
        <v>47</v>
      </c>
    </row>
    <row r="25" spans="1:9" ht="39.75" customHeight="1" x14ac:dyDescent="0.3">
      <c r="A25" s="14" t="s">
        <v>133</v>
      </c>
      <c r="B25" s="15" t="s">
        <v>134</v>
      </c>
      <c r="C25" s="6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7" t="s">
        <v>18</v>
      </c>
      <c r="I25" s="8" t="s">
        <v>19</v>
      </c>
    </row>
    <row r="26" spans="1:9" ht="39.75" customHeight="1" x14ac:dyDescent="0.3">
      <c r="A26" s="14" t="s">
        <v>140</v>
      </c>
      <c r="B26" s="15" t="s">
        <v>134</v>
      </c>
      <c r="C26" s="6" t="s">
        <v>141</v>
      </c>
      <c r="D26" s="6" t="s">
        <v>142</v>
      </c>
      <c r="E26" s="6" t="s">
        <v>143</v>
      </c>
      <c r="F26" s="6" t="s">
        <v>144</v>
      </c>
      <c r="G26" s="6" t="s">
        <v>145</v>
      </c>
      <c r="H26" s="7" t="s">
        <v>18</v>
      </c>
      <c r="I26" s="8" t="s">
        <v>19</v>
      </c>
    </row>
    <row r="27" spans="1:9" ht="39.75" customHeight="1" x14ac:dyDescent="0.3">
      <c r="A27" s="14" t="s">
        <v>146</v>
      </c>
      <c r="B27" s="15" t="s">
        <v>134</v>
      </c>
      <c r="C27" s="6" t="s">
        <v>147</v>
      </c>
      <c r="D27" s="6" t="s">
        <v>148</v>
      </c>
      <c r="E27" s="6" t="s">
        <v>149</v>
      </c>
      <c r="F27" s="6" t="s">
        <v>150</v>
      </c>
      <c r="G27" s="6" t="s">
        <v>151</v>
      </c>
      <c r="H27" s="7" t="s">
        <v>18</v>
      </c>
      <c r="I27" s="8" t="s">
        <v>47</v>
      </c>
    </row>
    <row r="28" spans="1:9" ht="39.75" customHeight="1" x14ac:dyDescent="0.3">
      <c r="A28" s="14" t="s">
        <v>152</v>
      </c>
      <c r="B28" s="15" t="s">
        <v>134</v>
      </c>
      <c r="C28" s="6" t="s">
        <v>153</v>
      </c>
      <c r="D28" s="6" t="s">
        <v>154</v>
      </c>
      <c r="E28" s="6" t="s">
        <v>155</v>
      </c>
      <c r="F28" s="6" t="s">
        <v>156</v>
      </c>
      <c r="G28" s="6" t="s">
        <v>157</v>
      </c>
      <c r="H28" s="9" t="s">
        <v>54</v>
      </c>
      <c r="I28" s="8" t="s">
        <v>47</v>
      </c>
    </row>
    <row r="29" spans="1:9" ht="39.75" customHeight="1" x14ac:dyDescent="0.3">
      <c r="A29" s="14" t="s">
        <v>158</v>
      </c>
      <c r="B29" s="15" t="s">
        <v>134</v>
      </c>
      <c r="C29" s="6" t="s">
        <v>159</v>
      </c>
      <c r="D29" s="6" t="s">
        <v>160</v>
      </c>
      <c r="E29" s="6" t="s">
        <v>161</v>
      </c>
      <c r="F29" s="6" t="s">
        <v>162</v>
      </c>
      <c r="G29" s="6" t="s">
        <v>163</v>
      </c>
      <c r="H29" s="7" t="s">
        <v>18</v>
      </c>
      <c r="I29" s="8" t="s">
        <v>19</v>
      </c>
    </row>
  </sheetData>
  <autoFilter ref="A4:I29" xr:uid="{00000000-0009-0000-0000-000000000000}"/>
  <mergeCells count="2">
    <mergeCell ref="A1:I1"/>
    <mergeCell ref="A2:I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8"/>
  <sheetViews>
    <sheetView showGridLines="0" topLeftCell="A2" zoomScale="81" zoomScaleNormal="100" workbookViewId="0">
      <selection activeCell="H5" sqref="H5"/>
    </sheetView>
  </sheetViews>
  <sheetFormatPr defaultColWidth="8.6640625" defaultRowHeight="14.4" x14ac:dyDescent="0.3"/>
  <cols>
    <col min="1" max="1" width="16" customWidth="1"/>
    <col min="2" max="2" width="46" customWidth="1"/>
    <col min="3" max="3" width="16" customWidth="1"/>
    <col min="4" max="4" width="12" customWidth="1"/>
  </cols>
  <sheetData>
    <row r="1" spans="1:4" ht="24" customHeight="1" x14ac:dyDescent="0.4">
      <c r="A1" s="2" t="s">
        <v>164</v>
      </c>
      <c r="B1" s="2"/>
      <c r="C1" s="2"/>
      <c r="D1" s="2"/>
    </row>
    <row r="2" spans="1:4" x14ac:dyDescent="0.3">
      <c r="A2" s="1" t="s">
        <v>165</v>
      </c>
      <c r="B2" s="1"/>
      <c r="C2" s="1"/>
      <c r="D2" s="1"/>
    </row>
    <row r="4" spans="1:4" x14ac:dyDescent="0.3">
      <c r="A4" s="16" t="s">
        <v>3</v>
      </c>
      <c r="B4" s="16" t="s">
        <v>166</v>
      </c>
      <c r="C4" s="16" t="s">
        <v>167</v>
      </c>
      <c r="D4" s="16" t="s">
        <v>168</v>
      </c>
    </row>
    <row r="5" spans="1:4" x14ac:dyDescent="0.3">
      <c r="A5" s="17" t="s">
        <v>12</v>
      </c>
      <c r="B5" s="18">
        <f>COUNTIF('Test Cases'!B:B,A5)</f>
        <v>8</v>
      </c>
      <c r="C5" s="18">
        <f>COUNTIFS('Test Cases'!B:B,A5,'Test Cases'!H:H,"Pass")</f>
        <v>7</v>
      </c>
      <c r="D5" s="18">
        <f>COUNTIFS('Test Cases'!B:B,A5,'Test Cases'!H:H,"Fail")</f>
        <v>1</v>
      </c>
    </row>
    <row r="6" spans="1:4" x14ac:dyDescent="0.3">
      <c r="A6" s="19" t="s">
        <v>62</v>
      </c>
      <c r="B6" s="18">
        <f>COUNTIF('Test Cases'!B:B,A6)</f>
        <v>6</v>
      </c>
      <c r="C6" s="18">
        <f>COUNTIFS('Test Cases'!B:B,A6,'Test Cases'!H:H,"Pass")</f>
        <v>5</v>
      </c>
      <c r="D6" s="18">
        <f>COUNTIFS('Test Cases'!B:B,A6,'Test Cases'!H:H,"Fail")</f>
        <v>1</v>
      </c>
    </row>
    <row r="7" spans="1:4" x14ac:dyDescent="0.3">
      <c r="A7" s="20" t="s">
        <v>98</v>
      </c>
      <c r="B7" s="18">
        <f>COUNTIF('Test Cases'!B:B,A7)</f>
        <v>6</v>
      </c>
      <c r="C7" s="18">
        <f>COUNTIFS('Test Cases'!B:B,A7,'Test Cases'!H:H,"Pass")</f>
        <v>5</v>
      </c>
      <c r="D7" s="18">
        <f>COUNTIFS('Test Cases'!B:B,A7,'Test Cases'!H:H,"Fail")</f>
        <v>1</v>
      </c>
    </row>
    <row r="8" spans="1:4" x14ac:dyDescent="0.3">
      <c r="A8" s="21" t="s">
        <v>134</v>
      </c>
      <c r="B8" s="18">
        <f>COUNTIF('Test Cases'!B:B,A8)</f>
        <v>5</v>
      </c>
      <c r="C8" s="18">
        <f>COUNTIFS('Test Cases'!B:B,A8,'Test Cases'!H:H,"Pass")</f>
        <v>4</v>
      </c>
      <c r="D8" s="18">
        <f>COUNTIFS('Test Cases'!B:B,A8,'Test Cases'!H:H,"Fail")</f>
        <v>1</v>
      </c>
    </row>
    <row r="9" spans="1:4" x14ac:dyDescent="0.3">
      <c r="A9" s="22" t="s">
        <v>169</v>
      </c>
      <c r="B9" s="22">
        <f>SUM(B5:B8)</f>
        <v>25</v>
      </c>
      <c r="C9" s="22">
        <f>SUM(C5:C8)</f>
        <v>21</v>
      </c>
      <c r="D9" s="22">
        <f>SUM(D5:D8)</f>
        <v>4</v>
      </c>
    </row>
    <row r="11" spans="1:4" ht="18" x14ac:dyDescent="0.35">
      <c r="A11" s="23" t="s">
        <v>170</v>
      </c>
      <c r="B11" s="24">
        <f>C9/B9</f>
        <v>0.84</v>
      </c>
    </row>
    <row r="13" spans="1:4" ht="17.399999999999999" x14ac:dyDescent="0.35">
      <c r="A13" s="25" t="s">
        <v>171</v>
      </c>
    </row>
    <row r="14" spans="1:4" x14ac:dyDescent="0.3">
      <c r="A14" s="16" t="s">
        <v>172</v>
      </c>
      <c r="B14" s="16" t="s">
        <v>173</v>
      </c>
      <c r="C14" s="16" t="s">
        <v>174</v>
      </c>
      <c r="D14" s="16" t="s">
        <v>175</v>
      </c>
    </row>
    <row r="15" spans="1:4" ht="54.75" customHeight="1" x14ac:dyDescent="0.3">
      <c r="A15" s="8" t="s">
        <v>176</v>
      </c>
      <c r="B15" s="26" t="s">
        <v>177</v>
      </c>
      <c r="C15" s="6" t="s">
        <v>178</v>
      </c>
      <c r="D15" s="8" t="s">
        <v>48</v>
      </c>
    </row>
    <row r="16" spans="1:4" ht="54.75" customHeight="1" x14ac:dyDescent="0.3">
      <c r="A16" s="8" t="s">
        <v>179</v>
      </c>
      <c r="B16" s="27" t="s">
        <v>180</v>
      </c>
      <c r="C16" s="6" t="s">
        <v>181</v>
      </c>
      <c r="D16" s="8" t="s">
        <v>104</v>
      </c>
    </row>
    <row r="17" spans="1:4" ht="54.75" customHeight="1" x14ac:dyDescent="0.3">
      <c r="A17" s="8" t="s">
        <v>182</v>
      </c>
      <c r="B17" s="26" t="s">
        <v>177</v>
      </c>
      <c r="C17" s="6" t="s">
        <v>183</v>
      </c>
      <c r="D17" s="8" t="s">
        <v>85</v>
      </c>
    </row>
    <row r="18" spans="1:4" ht="54.75" customHeight="1" x14ac:dyDescent="0.3">
      <c r="A18" s="8" t="s">
        <v>184</v>
      </c>
      <c r="B18" s="27" t="s">
        <v>180</v>
      </c>
      <c r="C18" s="6" t="s">
        <v>185</v>
      </c>
      <c r="D18" s="8" t="s">
        <v>152</v>
      </c>
    </row>
  </sheetData>
  <mergeCells count="2">
    <mergeCell ref="A1:D1"/>
    <mergeCell ref="A2:D2"/>
  </mergeCells>
  <pageMargins left="0.4" right="0.4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Cases</vt:lpstr>
      <vt:lpstr>Summary</vt:lpstr>
      <vt:lpstr>'Test Cases'!Print_Area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Dikpal Pandey</cp:lastModifiedBy>
  <cp:revision>0</cp:revision>
  <dcterms:created xsi:type="dcterms:W3CDTF">2026-08-20T01:22:51Z</dcterms:created>
  <dcterms:modified xsi:type="dcterms:W3CDTF">2026-08-21T13:57:40Z</dcterms:modified>
  <dc:language>en-US</dc:language>
</cp:coreProperties>
</file>